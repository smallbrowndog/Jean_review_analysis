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3_2_fin\"/>
    </mc:Choice>
  </mc:AlternateContent>
  <bookViews>
    <workbookView xWindow="0" yWindow="0" windowWidth="28800" windowHeight="12135" activeTab="1"/>
  </bookViews>
  <sheets>
    <sheet name="제작" sheetId="1" r:id="rId1"/>
    <sheet name="크롤링 링크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1" i="2" s="1"/>
  <c r="A6" i="1"/>
  <c r="A5" i="2" s="1"/>
  <c r="A7" i="1"/>
  <c r="A6" i="2" s="1"/>
  <c r="A8" i="1"/>
  <c r="A7" i="2" s="1"/>
  <c r="A9" i="1"/>
  <c r="A8" i="2" s="1"/>
  <c r="A10" i="1"/>
  <c r="A9" i="2" s="1"/>
  <c r="A11" i="1"/>
  <c r="A10" i="2" s="1"/>
  <c r="A12" i="1"/>
  <c r="A11" i="2" s="1"/>
  <c r="A13" i="1"/>
  <c r="A12" i="2" s="1"/>
  <c r="A14" i="1"/>
  <c r="A13" i="2" s="1"/>
  <c r="A15" i="1"/>
  <c r="A14" i="2" s="1"/>
  <c r="A16" i="1"/>
  <c r="A15" i="2" s="1"/>
  <c r="A17" i="1"/>
  <c r="A16" i="2" s="1"/>
  <c r="A18" i="1"/>
  <c r="A17" i="2" s="1"/>
  <c r="A19" i="1"/>
  <c r="A18" i="2" s="1"/>
  <c r="A20" i="1"/>
  <c r="A19" i="2" s="1"/>
  <c r="A21" i="1"/>
  <c r="A20" i="2" s="1"/>
  <c r="A22" i="1"/>
  <c r="A21" i="2" s="1"/>
  <c r="A23" i="1"/>
  <c r="A22" i="2" s="1"/>
  <c r="A24" i="1"/>
  <c r="A23" i="2" s="1"/>
  <c r="A25" i="1"/>
  <c r="A24" i="2" s="1"/>
  <c r="A26" i="1"/>
  <c r="A25" i="2" s="1"/>
  <c r="A3" i="1"/>
  <c r="A2" i="2" s="1"/>
  <c r="A4" i="1"/>
  <c r="A3" i="2" s="1"/>
  <c r="A5" i="1"/>
  <c r="A4" i="2" s="1"/>
  <c r="J3" i="1"/>
</calcChain>
</file>

<file path=xl/sharedStrings.xml><?xml version="1.0" encoding="utf-8"?>
<sst xmlns="http://schemas.openxmlformats.org/spreadsheetml/2006/main" count="30" uniqueCount="30">
  <si>
    <t>예상 크롤링 리뷰수</t>
    <phoneticPr fontId="1" type="noConversion"/>
  </si>
  <si>
    <t>브랜드 수</t>
    <phoneticPr fontId="1" type="noConversion"/>
  </si>
  <si>
    <t>브랜드별 옷 수</t>
    <phoneticPr fontId="1" type="noConversion"/>
  </si>
  <si>
    <t>https://www.musinsa.com/review/goods/</t>
  </si>
  <si>
    <t>링크</t>
    <phoneticPr fontId="1" type="noConversion"/>
  </si>
  <si>
    <t>https://www.musinsa.com/products/1159065</t>
    <phoneticPr fontId="1" type="noConversion"/>
  </si>
  <si>
    <t>https://www.musinsa.com/products/621274</t>
  </si>
  <si>
    <t>https://www.musinsa.com/products/1403008</t>
  </si>
  <si>
    <t>https://www.musinsa.com/products/1403480</t>
  </si>
  <si>
    <t>https://www.musinsa.com/products/545333</t>
  </si>
  <si>
    <t>https://www.musinsa.com/products/703957</t>
  </si>
  <si>
    <t>https://www.musinsa.com/products/1159066</t>
  </si>
  <si>
    <t>https://www.musinsa.com/products/987078</t>
  </si>
  <si>
    <t>https://www.musinsa.com/products/947581</t>
  </si>
  <si>
    <t>https://www.musinsa.com/products/2569788</t>
  </si>
  <si>
    <t>https://www.musinsa.com/products/987074</t>
  </si>
  <si>
    <t>https://www.musinsa.com/products/987076</t>
  </si>
  <si>
    <t>https://www.musinsa.com/products/2569796</t>
  </si>
  <si>
    <t>https://www.musinsa.com/products/684820</t>
  </si>
  <si>
    <t>https://www.musinsa.com/products/2569782</t>
  </si>
  <si>
    <t>https://www.musinsa.com/products/2893318</t>
  </si>
  <si>
    <t>https://www.musinsa.com/products/2569795</t>
  </si>
  <si>
    <t>https://www.musinsa.com/products/2893316</t>
  </si>
  <si>
    <t>https://www.musinsa.com/products/2893287</t>
  </si>
  <si>
    <t>https://www.musinsa.com/products/2569785</t>
  </si>
  <si>
    <t>https://www.musinsa.com/products/2893292</t>
  </si>
  <si>
    <t>https://www.musinsa.com/products/1948823</t>
  </si>
  <si>
    <t>https://www.musinsa.com/products/2893289</t>
  </si>
  <si>
    <t>https://www.musinsa.com/products/3602354</t>
  </si>
  <si>
    <t>https://www.musinsa.com/products/3602353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</si>
</sst>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78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usinsa.com/products/11590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C23" sqref="C23"/>
    </sheetView>
  </sheetViews>
  <sheetFormatPr defaultRowHeight="16.5" x14ac:dyDescent="0.3"/>
  <cols>
    <col min="2" max="2" width="38.75" bestFit="1" customWidth="1"/>
    <col min="7" max="7" width="18.625" bestFit="1" customWidth="1"/>
    <col min="9" max="9" width="14.375" bestFit="1" customWidth="1"/>
  </cols>
  <sheetData>
    <row r="1" spans="1:10" x14ac:dyDescent="0.3">
      <c r="C1" t="s">
        <v>4</v>
      </c>
    </row>
    <row r="2" spans="1:10" x14ac:dyDescent="0.3">
      <c r="A2" t="str">
        <f>RIGHT(C2, LEN(C2)-FIND("products/",C2)-LEN("products/")+1)</f>
        <v>1159065</v>
      </c>
      <c r="B2" t="s">
        <v>3</v>
      </c>
      <c r="C2" s="1" t="s">
        <v>5</v>
      </c>
      <c r="G2" t="s">
        <v>0</v>
      </c>
      <c r="H2" t="s">
        <v>1</v>
      </c>
      <c r="I2" t="s">
        <v>2</v>
      </c>
    </row>
    <row r="3" spans="1:10" x14ac:dyDescent="0.3">
      <c r="A3" t="str">
        <f t="shared" ref="A3:A22" si="0">RIGHT(C3, LEN(C3)-FIND("products/",C3)-LEN("products/")+1)</f>
        <v>621274</v>
      </c>
      <c r="C3" s="1" t="s">
        <v>6</v>
      </c>
      <c r="G3">
        <v>300</v>
      </c>
      <c r="H3">
        <v>5</v>
      </c>
      <c r="I3">
        <v>25</v>
      </c>
      <c r="J3">
        <f>G3*H3*I3</f>
        <v>37500</v>
      </c>
    </row>
    <row r="4" spans="1:10" x14ac:dyDescent="0.3">
      <c r="A4" t="str">
        <f t="shared" si="0"/>
        <v>1403008</v>
      </c>
      <c r="C4" s="2" t="s">
        <v>7</v>
      </c>
    </row>
    <row r="5" spans="1:10" x14ac:dyDescent="0.3">
      <c r="A5" t="str">
        <f>RIGHT(C5, LEN(C5)-FIND("products/",C5)-LEN("products/")+1)</f>
        <v>1403480</v>
      </c>
      <c r="C5" t="s">
        <v>8</v>
      </c>
    </row>
    <row r="6" spans="1:10" x14ac:dyDescent="0.3">
      <c r="A6" t="str">
        <f t="shared" si="0"/>
        <v>545333</v>
      </c>
      <c r="C6" t="s">
        <v>9</v>
      </c>
    </row>
    <row r="7" spans="1:10" x14ac:dyDescent="0.3">
      <c r="A7" t="str">
        <f t="shared" si="0"/>
        <v>703957</v>
      </c>
      <c r="C7" t="s">
        <v>10</v>
      </c>
    </row>
    <row r="8" spans="1:10" x14ac:dyDescent="0.3">
      <c r="A8" t="str">
        <f t="shared" si="0"/>
        <v>1159066</v>
      </c>
      <c r="C8" t="s">
        <v>11</v>
      </c>
    </row>
    <row r="9" spans="1:10" x14ac:dyDescent="0.3">
      <c r="A9" t="str">
        <f t="shared" si="0"/>
        <v>987078</v>
      </c>
      <c r="C9" t="s">
        <v>12</v>
      </c>
    </row>
    <row r="10" spans="1:10" x14ac:dyDescent="0.3">
      <c r="A10" t="str">
        <f t="shared" si="0"/>
        <v>947581</v>
      </c>
      <c r="C10" t="s">
        <v>13</v>
      </c>
    </row>
    <row r="11" spans="1:10" x14ac:dyDescent="0.3">
      <c r="A11" t="str">
        <f t="shared" si="0"/>
        <v>2569788</v>
      </c>
      <c r="C11" t="s">
        <v>14</v>
      </c>
    </row>
    <row r="12" spans="1:10" x14ac:dyDescent="0.3">
      <c r="A12" t="str">
        <f t="shared" si="0"/>
        <v>987074</v>
      </c>
      <c r="C12" t="s">
        <v>15</v>
      </c>
    </row>
    <row r="13" spans="1:10" x14ac:dyDescent="0.3">
      <c r="A13" t="str">
        <f t="shared" si="0"/>
        <v>987076</v>
      </c>
      <c r="C13" t="s">
        <v>16</v>
      </c>
    </row>
    <row r="14" spans="1:10" x14ac:dyDescent="0.3">
      <c r="A14" t="str">
        <f t="shared" si="0"/>
        <v>2569796</v>
      </c>
      <c r="C14" t="s">
        <v>17</v>
      </c>
    </row>
    <row r="15" spans="1:10" x14ac:dyDescent="0.3">
      <c r="A15" t="str">
        <f t="shared" si="0"/>
        <v>684820</v>
      </c>
      <c r="C15" t="s">
        <v>18</v>
      </c>
    </row>
    <row r="16" spans="1:10" x14ac:dyDescent="0.3">
      <c r="A16" t="str">
        <f t="shared" si="0"/>
        <v>2569782</v>
      </c>
      <c r="C16" t="s">
        <v>19</v>
      </c>
    </row>
    <row r="17" spans="1:3" x14ac:dyDescent="0.3">
      <c r="A17" t="str">
        <f t="shared" si="0"/>
        <v>2893318</v>
      </c>
      <c r="C17" t="s">
        <v>20</v>
      </c>
    </row>
    <row r="18" spans="1:3" x14ac:dyDescent="0.3">
      <c r="A18" t="str">
        <f t="shared" si="0"/>
        <v>2569795</v>
      </c>
      <c r="C18" t="s">
        <v>21</v>
      </c>
    </row>
    <row r="19" spans="1:3" x14ac:dyDescent="0.3">
      <c r="A19" t="str">
        <f t="shared" si="0"/>
        <v>2893316</v>
      </c>
      <c r="C19" t="s">
        <v>22</v>
      </c>
    </row>
    <row r="20" spans="1:3" x14ac:dyDescent="0.3">
      <c r="A20" t="str">
        <f t="shared" si="0"/>
        <v>2893287</v>
      </c>
      <c r="C20" t="s">
        <v>23</v>
      </c>
    </row>
    <row r="21" spans="1:3" x14ac:dyDescent="0.3">
      <c r="A21" t="str">
        <f t="shared" si="0"/>
        <v>2569785</v>
      </c>
      <c r="C21" t="s">
        <v>24</v>
      </c>
    </row>
    <row r="22" spans="1:3" x14ac:dyDescent="0.3">
      <c r="A22" t="str">
        <f t="shared" si="0"/>
        <v>2893292</v>
      </c>
      <c r="C22" t="s">
        <v>25</v>
      </c>
    </row>
    <row r="23" spans="1:3" x14ac:dyDescent="0.3">
      <c r="A23" t="str">
        <f>RIGHT(C23, LEN(C23)-FIND("products/",C23)-LEN("products/")+1)</f>
        <v>3602353</v>
      </c>
      <c r="C23" t="s">
        <v>29</v>
      </c>
    </row>
    <row r="24" spans="1:3" x14ac:dyDescent="0.3">
      <c r="A24" t="str">
        <f>RIGHT(C24, LEN(C24)-FIND("products/",C24)-LEN("products/")+1)</f>
        <v>3602354</v>
      </c>
      <c r="C24" t="s">
        <v>28</v>
      </c>
    </row>
    <row r="25" spans="1:3" x14ac:dyDescent="0.3">
      <c r="A25" t="str">
        <f>RIGHT(C25, LEN(C25)-FIND("products/",C25)-LEN("products/")+1)</f>
        <v>1948823</v>
      </c>
      <c r="C25" t="s">
        <v>26</v>
      </c>
    </row>
    <row r="26" spans="1:3" x14ac:dyDescent="0.3">
      <c r="A26" t="str">
        <f>RIGHT(C26, LEN(C26)-FIND("products/",C26)-LEN("products/")+1)</f>
        <v>2893289</v>
      </c>
      <c r="C26" t="s">
        <v>27</v>
      </c>
    </row>
  </sheetData>
  <phoneticPr fontId="1" type="noConversion"/>
  <conditionalFormatting sqref="A2:A26">
    <cfRule type="duplicateValues" dxfId="0" priority="1"/>
  </conditionalFormatting>
  <hyperlinks>
    <hyperlink ref="C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G18" sqref="G18"/>
    </sheetView>
  </sheetViews>
  <sheetFormatPr defaultRowHeight="16.5" x14ac:dyDescent="0.3"/>
  <sheetData>
    <row r="1" spans="1:1" x14ac:dyDescent="0.3">
      <c r="A1" t="str">
        <f>CONCATENATE(제작!$B$2,제작!A2)</f>
        <v>https://www.musinsa.com/review/goods/1159065</v>
      </c>
    </row>
    <row r="2" spans="1:1" x14ac:dyDescent="0.3">
      <c r="A2" t="str">
        <f>CONCATENATE(제작!$B$2,제작!A3)</f>
        <v>https://www.musinsa.com/review/goods/621274</v>
      </c>
    </row>
    <row r="3" spans="1:1" x14ac:dyDescent="0.3">
      <c r="A3" t="str">
        <f>CONCATENATE(제작!$B$2,제작!A4)</f>
        <v>https://www.musinsa.com/review/goods/1403008</v>
      </c>
    </row>
    <row r="4" spans="1:1" x14ac:dyDescent="0.3">
      <c r="A4" t="str">
        <f>CONCATENATE(제작!$B$2,제작!A5)</f>
        <v>https://www.musinsa.com/review/goods/1403480</v>
      </c>
    </row>
    <row r="5" spans="1:1" x14ac:dyDescent="0.3">
      <c r="A5" t="str">
        <f>CONCATENATE(제작!$B$2,제작!A6)</f>
        <v>https://www.musinsa.com/review/goods/545333</v>
      </c>
    </row>
    <row r="6" spans="1:1" x14ac:dyDescent="0.3">
      <c r="A6" t="str">
        <f>CONCATENATE(제작!$B$2,제작!A7)</f>
        <v>https://www.musinsa.com/review/goods/703957</v>
      </c>
    </row>
    <row r="7" spans="1:1" x14ac:dyDescent="0.3">
      <c r="A7" t="str">
        <f>CONCATENATE(제작!$B$2,제작!A8)</f>
        <v>https://www.musinsa.com/review/goods/1159066</v>
      </c>
    </row>
    <row r="8" spans="1:1" x14ac:dyDescent="0.3">
      <c r="A8" t="str">
        <f>CONCATENATE(제작!$B$2,제작!A9)</f>
        <v>https://www.musinsa.com/review/goods/987078</v>
      </c>
    </row>
    <row r="9" spans="1:1" x14ac:dyDescent="0.3">
      <c r="A9" t="str">
        <f>CONCATENATE(제작!$B$2,제작!A10)</f>
        <v>https://www.musinsa.com/review/goods/947581</v>
      </c>
    </row>
    <row r="10" spans="1:1" x14ac:dyDescent="0.3">
      <c r="A10" t="str">
        <f>CONCATENATE(제작!$B$2,제작!A11)</f>
        <v>https://www.musinsa.com/review/goods/2569788</v>
      </c>
    </row>
    <row r="11" spans="1:1" x14ac:dyDescent="0.3">
      <c r="A11" t="str">
        <f>CONCATENATE(제작!$B$2,제작!A12)</f>
        <v>https://www.musinsa.com/review/goods/987074</v>
      </c>
    </row>
    <row r="12" spans="1:1" x14ac:dyDescent="0.3">
      <c r="A12" t="str">
        <f>CONCATENATE(제작!$B$2,제작!A13)</f>
        <v>https://www.musinsa.com/review/goods/987076</v>
      </c>
    </row>
    <row r="13" spans="1:1" x14ac:dyDescent="0.3">
      <c r="A13" t="str">
        <f>CONCATENATE(제작!$B$2,제작!A14)</f>
        <v>https://www.musinsa.com/review/goods/2569796</v>
      </c>
    </row>
    <row r="14" spans="1:1" x14ac:dyDescent="0.3">
      <c r="A14" t="str">
        <f>CONCATENATE(제작!$B$2,제작!A15)</f>
        <v>https://www.musinsa.com/review/goods/684820</v>
      </c>
    </row>
    <row r="15" spans="1:1" x14ac:dyDescent="0.3">
      <c r="A15" t="str">
        <f>CONCATENATE(제작!$B$2,제작!A16)</f>
        <v>https://www.musinsa.com/review/goods/2569782</v>
      </c>
    </row>
    <row r="16" spans="1:1" x14ac:dyDescent="0.3">
      <c r="A16" t="str">
        <f>CONCATENATE(제작!$B$2,제작!A17)</f>
        <v>https://www.musinsa.com/review/goods/2893318</v>
      </c>
    </row>
    <row r="17" spans="1:1" x14ac:dyDescent="0.3">
      <c r="A17" t="str">
        <f>CONCATENATE(제작!$B$2,제작!A18)</f>
        <v>https://www.musinsa.com/review/goods/2569795</v>
      </c>
    </row>
    <row r="18" spans="1:1" x14ac:dyDescent="0.3">
      <c r="A18" t="str">
        <f>CONCATENATE(제작!$B$2,제작!A19)</f>
        <v>https://www.musinsa.com/review/goods/2893316</v>
      </c>
    </row>
    <row r="19" spans="1:1" x14ac:dyDescent="0.3">
      <c r="A19" t="str">
        <f>CONCATENATE(제작!$B$2,제작!A20)</f>
        <v>https://www.musinsa.com/review/goods/2893287</v>
      </c>
    </row>
    <row r="20" spans="1:1" x14ac:dyDescent="0.3">
      <c r="A20" t="str">
        <f>CONCATENATE(제작!$B$2,제작!A21)</f>
        <v>https://www.musinsa.com/review/goods/2569785</v>
      </c>
    </row>
    <row r="21" spans="1:1" x14ac:dyDescent="0.3">
      <c r="A21" t="str">
        <f>CONCATENATE(제작!$B$2,제작!A22)</f>
        <v>https://www.musinsa.com/review/goods/2893292</v>
      </c>
    </row>
    <row r="22" spans="1:1" x14ac:dyDescent="0.3">
      <c r="A22" t="str">
        <f>CONCATENATE(제작!$B$2,제작!A23)</f>
        <v>https://www.musinsa.com/review/goods/3602353</v>
      </c>
    </row>
    <row r="23" spans="1:1" x14ac:dyDescent="0.3">
      <c r="A23" t="str">
        <f>CONCATENATE(제작!$B$2,제작!A24)</f>
        <v>https://www.musinsa.com/review/goods/3602354</v>
      </c>
    </row>
    <row r="24" spans="1:1" x14ac:dyDescent="0.3">
      <c r="A24" t="str">
        <f>CONCATENATE(제작!$B$2,제작!A25)</f>
        <v>https://www.musinsa.com/review/goods/1948823</v>
      </c>
    </row>
    <row r="25" spans="1:1" x14ac:dyDescent="0.3">
      <c r="A25" t="str">
        <f>CONCATENATE(제작!$B$2,제작!A26)</f>
        <v>https://www.musinsa.com/review/goods/2893289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제작</vt:lpstr>
      <vt:lpstr>크롤링 링크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108-0</dc:creator>
  <cp:lastModifiedBy>108-0</cp:lastModifiedBy>
  <dcterms:created xsi:type="dcterms:W3CDTF">2024-11-19T02:40:12Z</dcterms:created>
  <dcterms:modified xsi:type="dcterms:W3CDTF">2024-11-19T03:15:18Z</dcterms:modified>
</cp:coreProperties>
</file>